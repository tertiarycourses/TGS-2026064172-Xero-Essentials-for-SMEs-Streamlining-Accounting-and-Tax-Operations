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<sst xmlns="http://schemas.openxmlformats.org/spreadsheetml/2006/main" count="84" uniqueCount="69">
  <si>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Field</t>
  </si>
  <si>
    <t xml:space="preserve">Details</t>
  </si>
  <si>
    <t xml:space="preserve">Activity</t>
  </si>
  <si>
    <t xml:space="preserve">Activity 10: Capstone: Complete the Month-End Close</t>
  </si>
  <si>
    <t xml:space="preserve">Scenario</t>
  </si>
  <si>
    <t xml:space="preserve">Lumina Homeware Pte Ltd</t>
  </si>
  <si>
    <t xml:space="preserve">Level / duration</t>
  </si>
  <si>
    <t xml:space="preserve">Advanced · 40 min</t>
  </si>
  <si>
    <t xml:space="preserve">Alignment</t>
  </si>
  <si>
    <t xml:space="preserve">A1 · A2 · A3 · A4 · K1–K5</t>
  </si>
  <si>
    <t xml:space="preserve">Objective</t>
  </si>
  <si>
    <t xml:space="preserve">Complete a controlled month-end close for Lumina Homeware Pte Ltd and present a decision-ready management brief.</t>
  </si>
  <si>
    <t xml:space="preserve">Expected output</t>
  </si>
  <si>
    <t xml:space="preserve">Closed-period checklist, reconciliations, GST review, reporting pack and management brief.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</si>
  <si>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</si>
  <si>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</si>
  <si>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</si>
  <si>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</si>
  <si>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</si>
  <si>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</si>
  <si>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</si>
  <si>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</si>
  <si>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CAP-001</t>
  </si>
  <si>
    <t xml:space="preserve">2026-07-31</t>
  </si>
  <si>
    <t xml:space="preserve">Month-end</t>
  </si>
  <si>
    <t xml:space="preserve">Unreconciled bank line</t>
  </si>
  <si>
    <t xml:space="preserve">CAP-002</t>
  </si>
  <si>
    <t xml:space="preserve">Duplicate supplier bill</t>
  </si>
  <si>
    <t xml:space="preserve">CAP-003</t>
  </si>
  <si>
    <t xml:space="preserve">Uncoded GST transaction</t>
  </si>
  <si>
    <t xml:space="preserve">CAP-004</t>
  </si>
  <si>
    <t xml:space="preserve">Overdue customer balance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</si>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</sst>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1250</v>
      </c>
      <c r="F2" s="5" t="n">
        <v>0.09</v>
      </c>
      <c r="G2" s="6" t="n">
        <f aca="false">ROUND(E2*F2,2)</f>
        <v>112.5</v>
      </c>
      <c r="H2" s="6" t="n">
        <f aca="false">E2+G2</f>
        <v>1362.5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-2180</v>
      </c>
      <c r="F3" s="5" t="n">
        <v>0.09</v>
      </c>
      <c r="G3" s="6" t="n">
        <f aca="false">ROUND(E3*F3,2)</f>
        <v>-196.2</v>
      </c>
      <c r="H3" s="6" t="n">
        <f aca="false">E3+G3</f>
        <v>-2376.2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3400</v>
      </c>
      <c r="F4" s="5" t="n">
        <v>0.09</v>
      </c>
      <c r="G4" s="6" t="n">
        <f aca="false">ROUND(E4*F4,2)</f>
        <v>306</v>
      </c>
      <c r="H4" s="6" t="n">
        <f aca="false">E4+G4</f>
        <v>3706</v>
      </c>
    </row>
    <row r="5" customFormat="false" ht="15" hidden="false" customHeight="false" outlineLevel="0" collapsed="false">
      <c r="A5" s="3" t="s">
        <v>30</v>
      </c>
      <c r="B5" s="3" t="s">
        <v>23</v>
      </c>
      <c r="C5" s="3" t="s">
        <v>24</v>
      </c>
      <c r="D5" s="3" t="s">
        <v>31</v>
      </c>
      <c r="E5" s="4" t="n">
        <v>7800</v>
      </c>
      <c r="F5" s="5" t="n">
        <v>0</v>
      </c>
      <c r="G5" s="6" t="n">
        <f aca="false">ROUND(E5*F5,2)</f>
        <v>0</v>
      </c>
      <c r="H5" s="6" t="n">
        <f aca="false">E5+G5</f>
        <v>7800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4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10270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222.3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10492.3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1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