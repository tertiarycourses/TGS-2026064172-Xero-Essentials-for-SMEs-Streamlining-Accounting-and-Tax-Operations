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<sst xmlns="http://schemas.openxmlformats.org/spreadsheetml/2006/main" count="84" uniqueCount="75">
  <si>
    <t xml:space="preserve">Field</t>
  </si>
  <si>
    <t xml:space="preserve">Details</t>
  </si>
  <si>
    <t xml:space="preserve">Activity</t>
  </si>
  <si>
    <t xml:space="preserve">Activity 03: Import Banking Data and Reconcile July</t>
  </si>
  <si>
    <t xml:space="preserve">Scenario</t>
  </si>
  <si>
    <t xml:space="preserve">Lumina Homeware Pte Ltd</t>
  </si>
  <si>
    <t xml:space="preserve">Level / duration</t>
  </si>
  <si>
    <t xml:space="preserve">Intermediate · 35 min</t>
  </si>
  <si>
    <t xml:space="preserve">Alignment</t>
  </si>
  <si>
    <t xml:space="preserve">A2 · K2</t>
  </si>
  <si>
    <t xml:space="preserve">Objective</t>
  </si>
  <si>
    <t xml:space="preserve">Set up bank accounts, import statement lines and reconcile the July statement.</t>
  </si>
  <si>
    <t xml:space="preserve">Expected output</t>
  </si>
  <si>
    <t xml:space="preserve">Imported bank batch, classified transactions, reconciliation report and exception log.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</si>
  <si>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</si>
  <si>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</si>
  <si>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</si>
  <si>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</si>
  <si>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</si>
  <si>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</si>
  <si>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</si>
  <si>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</si>
  <si>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BNK-001</t>
  </si>
  <si>
    <t xml:space="preserve">2026-07-05</t>
  </si>
  <si>
    <t xml:space="preserve">Director</t>
  </si>
  <si>
    <t xml:space="preserve">Capital injection</t>
  </si>
  <si>
    <t xml:space="preserve">BNK-002</t>
  </si>
  <si>
    <t xml:space="preserve">2026-07-12</t>
  </si>
  <si>
    <t xml:space="preserve">City Office Services</t>
  </si>
  <si>
    <t xml:space="preserve">Consulting fee</t>
  </si>
  <si>
    <t xml:space="preserve">BNK-003</t>
  </si>
  <si>
    <t xml:space="preserve">2026-07-20</t>
  </si>
  <si>
    <t xml:space="preserve">Internal transfer</t>
  </si>
  <si>
    <t xml:space="preserve">DBS to OCBC</t>
  </si>
  <si>
    <t xml:space="preserve">BNK-004</t>
  </si>
  <si>
    <t xml:space="preserve">2026-07-31</t>
  </si>
  <si>
    <t xml:space="preserve">DBS</t>
  </si>
  <si>
    <t xml:space="preserve">Bank charge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</si>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</sst>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2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80000</v>
      </c>
      <c r="F2" s="5" t="n">
        <v>0</v>
      </c>
      <c r="G2" s="6" t="n">
        <f aca="false">ROUND(E2*F2,2)</f>
        <v>0</v>
      </c>
      <c r="H2" s="6" t="n">
        <f aca="false">E2+G2</f>
        <v>80000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4" t="n">
        <v>-2400</v>
      </c>
      <c r="F3" s="5" t="n">
        <v>0.09</v>
      </c>
      <c r="G3" s="6" t="n">
        <f aca="false">ROUND(E3*F3,2)</f>
        <v>-216</v>
      </c>
      <c r="H3" s="6" t="n">
        <f aca="false">E3+G3</f>
        <v>-2616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32</v>
      </c>
      <c r="D4" s="3" t="s">
        <v>33</v>
      </c>
      <c r="E4" s="4" t="n">
        <v>-15000</v>
      </c>
      <c r="F4" s="5" t="n">
        <v>0</v>
      </c>
      <c r="G4" s="6" t="n">
        <f aca="false">ROUND(E4*F4,2)</f>
        <v>-0</v>
      </c>
      <c r="H4" s="6" t="n">
        <f aca="false">E4+G4</f>
        <v>-15000</v>
      </c>
    </row>
    <row r="5" customFormat="false" ht="15" hidden="false" customHeight="false" outlineLevel="0" collapsed="false">
      <c r="A5" s="3" t="s">
        <v>34</v>
      </c>
      <c r="B5" s="3" t="s">
        <v>35</v>
      </c>
      <c r="C5" s="3" t="s">
        <v>36</v>
      </c>
      <c r="D5" s="3" t="s">
        <v>37</v>
      </c>
      <c r="E5" s="4" t="n">
        <v>-35</v>
      </c>
      <c r="F5" s="5" t="n">
        <v>0</v>
      </c>
      <c r="G5" s="6" t="n">
        <f aca="false">ROUND(E5*F5,2)</f>
        <v>-0</v>
      </c>
      <c r="H5" s="6" t="n">
        <f aca="false">E5+G5</f>
        <v>-35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</row>
    <row r="2" customFormat="false" ht="15" hidden="false" customHeight="false" outlineLevel="0" collapsed="false">
      <c r="A2" s="7" t="s">
        <v>42</v>
      </c>
      <c r="B2" s="2" t="n">
        <f aca="false">COUNTA('Source Data'!A2:A100)</f>
        <v>4</v>
      </c>
      <c r="C2" s="2" t="s">
        <v>43</v>
      </c>
      <c r="D2" s="2"/>
    </row>
    <row r="3" customFormat="false" ht="15" hidden="false" customHeight="false" outlineLevel="0" collapsed="false">
      <c r="A3" s="2" t="s">
        <v>44</v>
      </c>
      <c r="B3" s="2" t="n">
        <f aca="false">SUM('Source Data'!E2:E100)</f>
        <v>62565</v>
      </c>
      <c r="C3" s="2" t="s">
        <v>43</v>
      </c>
      <c r="D3" s="2"/>
    </row>
    <row r="4" customFormat="false" ht="15" hidden="false" customHeight="false" outlineLevel="0" collapsed="false">
      <c r="A4" s="2" t="s">
        <v>45</v>
      </c>
      <c r="B4" s="2" t="n">
        <f aca="false">SUM('Source Data'!G2:G100)</f>
        <v>-216</v>
      </c>
      <c r="C4" s="2" t="s">
        <v>43</v>
      </c>
      <c r="D4" s="2"/>
    </row>
    <row r="5" customFormat="false" ht="15" hidden="false" customHeight="false" outlineLevel="0" collapsed="false">
      <c r="A5" s="2" t="s">
        <v>46</v>
      </c>
      <c r="B5" s="2" t="n">
        <f aca="false">SUM('Source Data'!H2:H100)</f>
        <v>62349</v>
      </c>
      <c r="C5" s="2" t="s">
        <v>43</v>
      </c>
      <c r="D5" s="2"/>
    </row>
    <row r="6" customFormat="false" ht="15" hidden="false" customHeight="false" outlineLevel="0" collapsed="false">
      <c r="A6" s="2" t="s">
        <v>47</v>
      </c>
      <c r="B6" s="2" t="n">
        <f aca="false">COUNTIF(C2:C5,"Complete")</f>
        <v>0</v>
      </c>
      <c r="C6" s="2" t="s">
        <v>43</v>
      </c>
      <c r="D6" s="2" t="s">
        <v>48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customFormat="false" ht="15" hidden="false" customHeight="false" outlineLevel="0" collapsed="false">
      <c r="A2" s="3" t="s">
        <v>55</v>
      </c>
      <c r="B2" s="3" t="s">
        <v>56</v>
      </c>
      <c r="C2" s="3"/>
      <c r="D2" s="3" t="s">
        <v>43</v>
      </c>
      <c r="E2" s="3"/>
      <c r="F2" s="3"/>
    </row>
    <row r="3" customFormat="false" ht="15" hidden="false" customHeight="false" outlineLevel="0" collapsed="false">
      <c r="A3" s="3" t="s">
        <v>57</v>
      </c>
      <c r="B3" s="3" t="s">
        <v>58</v>
      </c>
      <c r="C3" s="3"/>
      <c r="D3" s="3" t="s">
        <v>43</v>
      </c>
      <c r="E3" s="3"/>
      <c r="F3" s="3"/>
    </row>
    <row r="4" customFormat="false" ht="15" hidden="false" customHeight="false" outlineLevel="0" collapsed="false">
      <c r="A4" s="3" t="s">
        <v>59</v>
      </c>
      <c r="B4" s="3" t="s">
        <v>60</v>
      </c>
      <c r="C4" s="3"/>
      <c r="D4" s="3" t="s">
        <v>43</v>
      </c>
      <c r="E4" s="3"/>
      <c r="F4" s="3"/>
    </row>
    <row r="5" customFormat="false" ht="15" hidden="false" customHeight="false" outlineLevel="0" collapsed="false">
      <c r="A5" s="3" t="s">
        <v>61</v>
      </c>
      <c r="B5" s="3" t="s">
        <v>62</v>
      </c>
      <c r="C5" s="3"/>
      <c r="D5" s="3" t="s">
        <v>43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52</v>
      </c>
    </row>
    <row r="2" customFormat="false" ht="15" hidden="false" customHeight="false" outlineLevel="0" collapsed="false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/>
      <c r="G2" s="3" t="s">
        <v>74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