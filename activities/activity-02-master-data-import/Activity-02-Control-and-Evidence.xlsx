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ource Data" sheetId="2" state="visible" r:id="rId4"/>
    <sheet name="Control Checks" sheetId="3" state="visible" r:id="rId5"/>
    <sheet name="Evidence Log" sheetId="4" state="visible" r:id="rId6"/>
    <sheet name="Exception Log" sheetId="5" state="visible" r:id="rId7"/>
  </sheets>
  <definedNames>
    <definedName function="false" hidden="true" localSheetId="2" name="_xlnm._FilterDatabase" vbProcedure="false">'Control Checks'!$A$1:$D$6</definedName>
    <definedName function="false" hidden="true" localSheetId="3" name="_xlnm._FilterDatabase" vbProcedure="false">'Evidence Log'!$A$1:$F$5</definedName>
    <definedName function="false" hidden="true" localSheetId="4" name="_xlnm._FilterDatabase" vbProcedure="false">'Exception Log'!$A$1:$G$2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<sst xmlns="http://schemas.openxmlformats.org/spreadsheetml/2006/main" count="80" uniqueCount="69">
  <si>
    <t xml:space="preserve">Field</t>
  </si>
  <si>
    <t xml:space="preserve">Details</t>
  </si>
  <si>
    <t xml:space="preserve">Activity</t>
  </si>
  <si>
    <t xml:space="preserve">Activity 02: Clean and Import Master Data</t>
  </si>
  <si>
    <t xml:space="preserve">Scenario</t>
  </si>
  <si>
    <t xml:space="preserve">Lumina Homeware Pte Ltd</t>
  </si>
  <si>
    <t xml:space="preserve">Level / duration</t>
  </si>
  <si>
    <t xml:space="preserve">Foundation · 30 min</t>
  </si>
  <si>
    <t xml:space="preserve">Alignment</t>
  </si>
  <si>
    <t xml:space="preserve">A1 · K1</t>
  </si>
  <si>
    <t xml:space="preserve">Objective</t>
  </si>
  <si>
    <t xml:space="preserve">Prepare, validate and import the chart of accounts, customers, suppliers and products/services.</t>
  </si>
  <si>
    <t xml:space="preserve">Expected output</t>
  </si>
  <si>
    <t xml:space="preserve">Import-ready CSV files, control totals, import results and exception log.</t>
  </si>
  <si>
    <t xml:space="preserve">Record ID</t>
  </si>
  <si>
    <t xml:space="preserve">Date</t>
  </si>
  <si>
    <t xml:space="preserve">Counterparty / Owner</t>
  </si>
  <si>
    <t xml:space="preserve">Description</t>
  </si>
  <si>
    <t xml:space="preserve">Net Amount (SGD)</t>
  </si>
  <si>
    <t xml:space="preserve">GST Rate</t>
  </si>
  <si>
    <t xml:space="preserve">GST Amount (SGD)</t>
  </si>
  <si>
    <t xml:space="preserve">Gross Amount (SGD)</t>
  </si>
  <si>
    <t xml:space="preserve">COA-1100</t>
  </si>
  <si>
    <t xml:space="preserve">2026-07-01</t>
  </si>
  <si>
    <t xml:space="preserve">Opening migration</t>
  </si>
  <si>
    <t xml:space="preserve">DBS Operating Bank</t>
  </si>
  <si>
    <t xml:space="preserve">CUS-001</t>
  </si>
  <si>
    <t xml:space="preserve">Lion City Cafe Pte Ltd</t>
  </si>
  <si>
    <t xml:space="preserve">Customer opening balance</t>
  </si>
  <si>
    <t xml:space="preserve">SUP-001</t>
  </si>
  <si>
    <t xml:space="preserve">Merlion Packaging Pte Ltd</t>
  </si>
  <si>
    <t xml:space="preserve">Supplier opening balance</t>
  </si>
  <si>
    <t xml:space="preserve">Control</t>
  </si>
  <si>
    <t xml:space="preserve">Formula / expected result</t>
  </si>
  <si>
    <t xml:space="preserve">Reviewer status</t>
  </si>
  <si>
    <t xml:space="preserve">Notes</t>
  </si>
  <si>
    <t xml:space="preserve">Source row count</t>
  </si>
  <si>
    <t xml:space="preserve">Pending</t>
  </si>
  <si>
    <t xml:space="preserve">Net total (SGD)</t>
  </si>
  <si>
    <t xml:space="preserve">GST total (SGD)</t>
  </si>
  <si>
    <t xml:space="preserve">Gross total (SGD)</t>
  </si>
  <si>
    <t xml:space="preserve">Acceptance criteria met</t>
  </si>
  <si>
    <t xml:space="preserve">Set evidence status to Complete after review</t>
  </si>
  <si>
    <t xml:space="preserve">Evidence ID</t>
  </si>
  <si>
    <t xml:space="preserve">Required evidence</t>
  </si>
  <si>
    <t xml:space="preserve">File / screenshot reference</t>
  </si>
  <si>
    <t xml:space="preserve">Status</t>
  </si>
  <si>
    <t xml:space="preserve">Reviewer</t>
  </si>
  <si>
    <t xml:space="preserve">Review date</t>
  </si>
  <si>
    <t xml:space="preserve">E01</t>
  </si>
  <si>
    <t xml:space="preserve">Completed workbook</t>
  </si>
  <si>
    <t xml:space="preserve">E02</t>
  </si>
  <si>
    <t xml:space="preserve">Xero report or screenshot</t>
  </si>
  <si>
    <t xml:space="preserve">E03</t>
  </si>
  <si>
    <t xml:space="preserve">Exception/decision log</t>
  </si>
  <si>
    <t xml:space="preserve">E04</t>
  </si>
  <si>
    <t xml:space="preserve">Reviewer sign-off</t>
  </si>
  <si>
    <t xml:space="preserve">Exception ID</t>
  </si>
  <si>
    <t xml:space="preserve">Observed issue</t>
  </si>
  <si>
    <t xml:space="preserve">Root cause</t>
  </si>
  <si>
    <t xml:space="preserve">Decision / correction</t>
  </si>
  <si>
    <t xml:space="preserve">Owner</t>
  </si>
  <si>
    <t xml:space="preserve">Due date</t>
  </si>
  <si>
    <t xml:space="preserve">X01</t>
  </si>
  <si>
    <t xml:space="preserve">Example: Xero menu label differs from guide</t>
  </si>
  <si>
    <t xml:space="preserve">Product UI update</t>
  </si>
  <si>
    <t xml:space="preserve">Record actual path; preserve control intent</t>
  </si>
  <si>
    <t xml:space="preserve">Learner</t>
  </si>
  <si>
    <t xml:space="preserve">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</si>
</sst>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7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customFormat="false" ht="15" hidden="false" customHeight="false" outlineLevel="0" collapsed="false">
      <c r="A2" s="3" t="s">
        <v>22</v>
      </c>
      <c r="B2" s="3" t="s">
        <v>23</v>
      </c>
      <c r="C2" s="3" t="s">
        <v>24</v>
      </c>
      <c r="D2" s="3" t="s">
        <v>25</v>
      </c>
      <c r="E2" s="4" t="n">
        <v>125000</v>
      </c>
      <c r="F2" s="5" t="n">
        <v>0</v>
      </c>
      <c r="G2" s="6" t="n">
        <f aca="false">ROUND(E2*F2,2)</f>
        <v>0</v>
      </c>
      <c r="H2" s="6" t="n">
        <f aca="false">E2+G2</f>
        <v>125000</v>
      </c>
    </row>
    <row r="3" customFormat="false" ht="15" hidden="false" customHeight="false" outlineLevel="0" collapsed="false">
      <c r="A3" s="3" t="s">
        <v>26</v>
      </c>
      <c r="B3" s="3" t="s">
        <v>23</v>
      </c>
      <c r="C3" s="3" t="s">
        <v>27</v>
      </c>
      <c r="D3" s="3" t="s">
        <v>28</v>
      </c>
      <c r="E3" s="4" t="n">
        <v>18000</v>
      </c>
      <c r="F3" s="5" t="n">
        <v>0.09</v>
      </c>
      <c r="G3" s="6" t="n">
        <f aca="false">ROUND(E3*F3,2)</f>
        <v>1620</v>
      </c>
      <c r="H3" s="6" t="n">
        <f aca="false">E3+G3</f>
        <v>19620</v>
      </c>
    </row>
    <row r="4" customFormat="false" ht="15" hidden="false" customHeight="false" outlineLevel="0" collapsed="false">
      <c r="A4" s="3" t="s">
        <v>29</v>
      </c>
      <c r="B4" s="3" t="s">
        <v>23</v>
      </c>
      <c r="C4" s="3" t="s">
        <v>30</v>
      </c>
      <c r="D4" s="3" t="s">
        <v>31</v>
      </c>
      <c r="E4" s="4" t="n">
        <v>9500</v>
      </c>
      <c r="F4" s="5" t="n">
        <v>0.09</v>
      </c>
      <c r="G4" s="6" t="n">
        <f aca="false">ROUND(E4*F4,2)</f>
        <v>855</v>
      </c>
      <c r="H4" s="6" t="n">
        <f aca="false">E4+G4</f>
        <v>10355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2"/>
    <col collapsed="false" customWidth="true" hidden="false" outlineLevel="0" max="3" min="3" style="0" width="17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32</v>
      </c>
      <c r="B1" s="1" t="s">
        <v>33</v>
      </c>
      <c r="C1" s="1" t="s">
        <v>34</v>
      </c>
      <c r="D1" s="1" t="s">
        <v>35</v>
      </c>
    </row>
    <row r="2" customFormat="false" ht="15" hidden="false" customHeight="false" outlineLevel="0" collapsed="false">
      <c r="A2" s="7" t="s">
        <v>36</v>
      </c>
      <c r="B2" s="2" t="n">
        <f aca="false">COUNTA('Source Data'!A2:A100)</f>
        <v>3</v>
      </c>
      <c r="C2" s="2" t="s">
        <v>37</v>
      </c>
      <c r="D2" s="2"/>
    </row>
    <row r="3" customFormat="false" ht="15" hidden="false" customHeight="false" outlineLevel="0" collapsed="false">
      <c r="A3" s="2" t="s">
        <v>38</v>
      </c>
      <c r="B3" s="2" t="n">
        <f aca="false">SUM('Source Data'!E2:E100)</f>
        <v>152500</v>
      </c>
      <c r="C3" s="2" t="s">
        <v>37</v>
      </c>
      <c r="D3" s="2"/>
    </row>
    <row r="4" customFormat="false" ht="15" hidden="false" customHeight="false" outlineLevel="0" collapsed="false">
      <c r="A4" s="2" t="s">
        <v>39</v>
      </c>
      <c r="B4" s="2" t="n">
        <f aca="false">SUM('Source Data'!G2:G100)</f>
        <v>2475</v>
      </c>
      <c r="C4" s="2" t="s">
        <v>37</v>
      </c>
      <c r="D4" s="2"/>
    </row>
    <row r="5" customFormat="false" ht="15" hidden="false" customHeight="false" outlineLevel="0" collapsed="false">
      <c r="A5" s="2" t="s">
        <v>40</v>
      </c>
      <c r="B5" s="2" t="n">
        <f aca="false">SUM('Source Data'!H2:H100)</f>
        <v>154975</v>
      </c>
      <c r="C5" s="2" t="s">
        <v>37</v>
      </c>
      <c r="D5" s="2"/>
    </row>
    <row r="6" customFormat="false" ht="15" hidden="false" customHeight="false" outlineLevel="0" collapsed="false">
      <c r="A6" s="2" t="s">
        <v>41</v>
      </c>
      <c r="B6" s="2" t="n">
        <f aca="false">COUNTIF(C2:C5,"Complete")</f>
        <v>0</v>
      </c>
      <c r="C6" s="2" t="s">
        <v>37</v>
      </c>
      <c r="D6" s="2" t="s">
        <v>42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7"/>
    <col collapsed="false" customWidth="true" hidden="false" outlineLevel="0" max="3" min="3" style="0" width="29"/>
    <col collapsed="false" customWidth="true" hidden="false" outlineLevel="0" max="6" min="4" style="0" width="14"/>
  </cols>
  <sheetData>
    <row r="1" customFormat="false" ht="27.75" hidden="false" customHeight="true" outlineLevel="0" collapsed="false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customFormat="false" ht="15" hidden="false" customHeight="false" outlineLevel="0" collapsed="false">
      <c r="A2" s="3" t="s">
        <v>49</v>
      </c>
      <c r="B2" s="3" t="s">
        <v>50</v>
      </c>
      <c r="C2" s="3"/>
      <c r="D2" s="3" t="s">
        <v>37</v>
      </c>
      <c r="E2" s="3"/>
      <c r="F2" s="3"/>
    </row>
    <row r="3" customFormat="false" ht="15" hidden="false" customHeight="false" outlineLevel="0" collapsed="false">
      <c r="A3" s="3" t="s">
        <v>51</v>
      </c>
      <c r="B3" s="3" t="s">
        <v>52</v>
      </c>
      <c r="C3" s="3"/>
      <c r="D3" s="3" t="s">
        <v>37</v>
      </c>
      <c r="E3" s="3"/>
      <c r="F3" s="3"/>
    </row>
    <row r="4" customFormat="false" ht="15" hidden="false" customHeight="false" outlineLevel="0" collapsed="false">
      <c r="A4" s="3" t="s">
        <v>53</v>
      </c>
      <c r="B4" s="3" t="s">
        <v>54</v>
      </c>
      <c r="C4" s="3"/>
      <c r="D4" s="3" t="s">
        <v>37</v>
      </c>
      <c r="E4" s="3"/>
      <c r="F4" s="3"/>
    </row>
    <row r="5" customFormat="false" ht="15" hidden="false" customHeight="false" outlineLevel="0" collapsed="false">
      <c r="A5" s="3" t="s">
        <v>55</v>
      </c>
      <c r="B5" s="3" t="s">
        <v>56</v>
      </c>
      <c r="C5" s="3"/>
      <c r="D5" s="3" t="s">
        <v>37</v>
      </c>
      <c r="E5" s="3"/>
      <c r="F5" s="3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9"/>
    <col collapsed="false" customWidth="true" hidden="false" outlineLevel="0" max="4" min="4" style="0" width="42"/>
    <col collapsed="false" customWidth="true" hidden="false" outlineLevel="0" max="7" min="5" style="0" width="14"/>
  </cols>
  <sheetData>
    <row r="1" customFormat="false" ht="27.75" hidden="false" customHeight="true" outlineLevel="0" collapsed="false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46</v>
      </c>
    </row>
    <row r="2" customFormat="false" ht="15" hidden="false" customHeight="false" outlineLevel="0" collapsed="false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/>
      <c r="G2" s="3" t="s">
        <v>68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2026-08-15T16:48:28Z</dcterms:created>
  <dc:creator>openpyxl</dc:creator>
  <dc:description/>
  <dc:language>en-SG</dc:language>
  <cp:lastModifiedBy/>
  <dcterms:modified xsi:type="dcterms:W3CDTF">2026-08-15T16:48:28Z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