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<sst xmlns="http://schemas.openxmlformats.org/spreadsheetml/2006/main" count="84" uniqueCount="75">
  <si>
    <t xml:space="preserve">Field</t>
  </si>
  <si>
    <t xml:space="preserve">Details</t>
  </si>
  <si>
    <t xml:space="preserve">Activity</t>
  </si>
  <si>
    <t xml:space="preserve">Activity 07: Code and Validate GST Transactions</t>
  </si>
  <si>
    <t xml:space="preserve">Scenario</t>
  </si>
  <si>
    <t xml:space="preserve">Lumina Homeware Pte Ltd</t>
  </si>
  <si>
    <t xml:space="preserve">Level / duration</t>
  </si>
  <si>
    <t xml:space="preserve">Intermediate · 30 min</t>
  </si>
  <si>
    <t xml:space="preserve">Alignment</t>
  </si>
  <si>
    <t xml:space="preserve">A3 · K3 · K4</t>
  </si>
  <si>
    <t xml:space="preserve">Objective</t>
  </si>
  <si>
    <t xml:space="preserve">Apply and validate Singapore GST treatment across a mixed transaction set.</t>
  </si>
  <si>
    <t xml:space="preserve">Expected output</t>
  </si>
  <si>
    <t xml:space="preserve">GST coding register, calculation checks and resolved exception log.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</si>
  <si>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</si>
  <si>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</si>
  <si>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</si>
  <si>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</si>
  <si>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</si>
  <si>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</si>
  <si>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</si>
  <si>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</si>
  <si>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GST-S01</t>
  </si>
  <si>
    <t xml:space="preserve">2026-07-09</t>
  </si>
  <si>
    <t xml:space="preserve">Singapore customer</t>
  </si>
  <si>
    <t xml:space="preserve">Standard-rated local sale</t>
  </si>
  <si>
    <t xml:space="preserve">GST-S02</t>
  </si>
  <si>
    <t xml:space="preserve">2026-07-11</t>
  </si>
  <si>
    <t xml:space="preserve">Overseas customer</t>
  </si>
  <si>
    <t xml:space="preserve">Potential zero-rated export</t>
  </si>
  <si>
    <t xml:space="preserve">GST-P01</t>
  </si>
  <si>
    <t xml:space="preserve">2026-07-13</t>
  </si>
  <si>
    <t xml:space="preserve">Local supplier</t>
  </si>
  <si>
    <t xml:space="preserve">Eligible local business purchase</t>
  </si>
  <si>
    <t xml:space="preserve">GST-P02</t>
  </si>
  <si>
    <t xml:space="preserve">2026-07-15</t>
  </si>
  <si>
    <t xml:space="preserve">Staff claim</t>
  </si>
  <si>
    <t xml:space="preserve">Private element requires escalation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</si>
  <si>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</si>
  <si>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</si>
  <si>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</si>
  <si>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</si>
  <si>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</si>
  <si>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</si>
  <si>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</si>
  <si>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</si>
  <si>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</si>
  <si>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</si>
  <si>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</si>
  <si>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</si>
  <si>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</si>
  <si>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</si>
  <si>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</si>
  <si>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</si>
  <si>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</si>
  <si>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</si>
  <si>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</si>
  <si>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</si>
  <si>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Xero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</si>
  <si>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</si>
  <si>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</si>
  <si>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</si>
  <si>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</si>
  <si>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</si>
  <si>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</si>
  <si>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</si>
  <si>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</si>
  <si>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</si>
  <si>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</si>
  <si>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</si>
  <si>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Xero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</si>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</sst>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37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5000</v>
      </c>
      <c r="F2" s="5" t="n">
        <v>0.09</v>
      </c>
      <c r="G2" s="6" t="n">
        <f aca="false">ROUND(E2*F2,2)</f>
        <v>450</v>
      </c>
      <c r="H2" s="6" t="n">
        <f aca="false">E2+G2</f>
        <v>5450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4" t="n">
        <v>7200</v>
      </c>
      <c r="F3" s="5" t="n">
        <v>0</v>
      </c>
      <c r="G3" s="6" t="n">
        <f aca="false">ROUND(E3*F3,2)</f>
        <v>0</v>
      </c>
      <c r="H3" s="6" t="n">
        <f aca="false">E3+G3</f>
        <v>7200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4" t="n">
        <v>2400</v>
      </c>
      <c r="F4" s="5" t="n">
        <v>0.09</v>
      </c>
      <c r="G4" s="6" t="n">
        <f aca="false">ROUND(E4*F4,2)</f>
        <v>216</v>
      </c>
      <c r="H4" s="6" t="n">
        <f aca="false">E4+G4</f>
        <v>2616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s">
        <v>36</v>
      </c>
      <c r="D5" s="3" t="s">
        <v>37</v>
      </c>
      <c r="E5" s="4" t="n">
        <v>600</v>
      </c>
      <c r="F5" s="5" t="n">
        <v>0.09</v>
      </c>
      <c r="G5" s="6" t="n">
        <f aca="false">ROUND(E5*F5,2)</f>
        <v>54</v>
      </c>
      <c r="H5" s="6" t="n">
        <f aca="false">E5+G5</f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38</v>
      </c>
      <c r="B1" s="1" t="s">
        <v>39</v>
      </c>
      <c r="C1" s="1" t="s">
        <v>40</v>
      </c>
      <c r="D1" s="1" t="s">
        <v>41</v>
      </c>
    </row>
    <row r="2" customFormat="false" ht="15" hidden="false" customHeight="false" outlineLevel="0" collapsed="false">
      <c r="A2" s="7" t="s">
        <v>42</v>
      </c>
      <c r="B2" s="2" t="n">
        <f aca="false">COUNTA('Source Data'!A2:A100)</f>
        <v>4</v>
      </c>
      <c r="C2" s="2" t="s">
        <v>43</v>
      </c>
      <c r="D2" s="2"/>
    </row>
    <row r="3" customFormat="false" ht="15" hidden="false" customHeight="false" outlineLevel="0" collapsed="false">
      <c r="A3" s="2" t="s">
        <v>44</v>
      </c>
      <c r="B3" s="2" t="n">
        <f aca="false">SUM('Source Data'!E2:E100)</f>
        <v>15200</v>
      </c>
      <c r="C3" s="2" t="s">
        <v>43</v>
      </c>
      <c r="D3" s="2"/>
    </row>
    <row r="4" customFormat="false" ht="15" hidden="false" customHeight="false" outlineLevel="0" collapsed="false">
      <c r="A4" s="2" t="s">
        <v>45</v>
      </c>
      <c r="B4" s="2" t="n">
        <f aca="false">SUM('Source Data'!G2:G100)</f>
        <v>720</v>
      </c>
      <c r="C4" s="2" t="s">
        <v>43</v>
      </c>
      <c r="D4" s="2"/>
    </row>
    <row r="5" customFormat="false" ht="15" hidden="false" customHeight="false" outlineLevel="0" collapsed="false">
      <c r="A5" s="2" t="s">
        <v>46</v>
      </c>
      <c r="B5" s="2" t="n">
        <f aca="false">SUM('Source Data'!H2:H100)</f>
        <v>15920</v>
      </c>
      <c r="C5" s="2" t="s">
        <v>43</v>
      </c>
      <c r="D5" s="2"/>
    </row>
    <row r="6" customFormat="false" ht="15" hidden="false" customHeight="false" outlineLevel="0" collapsed="false">
      <c r="A6" s="2" t="s">
        <v>47</v>
      </c>
      <c r="B6" s="2" t="n">
        <f aca="false">COUNTIF(C2:C5,"Complete")</f>
        <v>0</v>
      </c>
      <c r="C6" s="2" t="s">
        <v>43</v>
      </c>
      <c r="D6" s="2" t="s">
        <v>48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customFormat="false" ht="15" hidden="false" customHeight="false" outlineLevel="0" collapsed="false">
      <c r="A2" s="3" t="s">
        <v>55</v>
      </c>
      <c r="B2" s="3" t="s">
        <v>56</v>
      </c>
      <c r="C2" s="3"/>
      <c r="D2" s="3" t="s">
        <v>43</v>
      </c>
      <c r="E2" s="3"/>
      <c r="F2" s="3"/>
    </row>
    <row r="3" customFormat="false" ht="15" hidden="false" customHeight="false" outlineLevel="0" collapsed="false">
      <c r="A3" s="3" t="s">
        <v>57</v>
      </c>
      <c r="B3" s="3" t="s">
        <v>58</v>
      </c>
      <c r="C3" s="3"/>
      <c r="D3" s="3" t="s">
        <v>43</v>
      </c>
      <c r="E3" s="3"/>
      <c r="F3" s="3"/>
    </row>
    <row r="4" customFormat="false" ht="15" hidden="false" customHeight="false" outlineLevel="0" collapsed="false">
      <c r="A4" s="3" t="s">
        <v>59</v>
      </c>
      <c r="B4" s="3" t="s">
        <v>60</v>
      </c>
      <c r="C4" s="3"/>
      <c r="D4" s="3" t="s">
        <v>43</v>
      </c>
      <c r="E4" s="3"/>
      <c r="F4" s="3"/>
    </row>
    <row r="5" customFormat="false" ht="15" hidden="false" customHeight="false" outlineLevel="0" collapsed="false">
      <c r="A5" s="3" t="s">
        <v>61</v>
      </c>
      <c r="B5" s="3" t="s">
        <v>62</v>
      </c>
      <c r="C5" s="3"/>
      <c r="D5" s="3" t="s">
        <v>43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52</v>
      </c>
    </row>
    <row r="2" customFormat="false" ht="15" hidden="false" customHeight="false" outlineLevel="0" collapsed="false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/>
      <c r="G2" s="3" t="s">
        <v>74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2026-08-15T16:48:28Z</dcterms:created>
  <dc:creator>openpyxl</dc:creator>
  <dc:description/>
  <dc:language>en-SG</dc:language>
  <cp:lastModifiedBy/>
  <dcterms:modified xsi:type="dcterms:W3CDTF">2026-08-15T16:48:28Z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