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<sst xmlns="http://schemas.openxmlformats.org/spreadsheetml/2006/main" count="76" uniqueCount="65">
  <si>
    <t xml:space="preserve">Field</t>
  </si>
  <si>
    <t xml:space="preserve">Details</t>
  </si>
  <si>
    <t xml:space="preserve">Activity</t>
  </si>
  <si>
    <t xml:space="preserve">Activity 01: Set Up the SME Organisation and Control Profile</t>
  </si>
  <si>
    <t xml:space="preserve">Scenario</t>
  </si>
  <si>
    <t xml:space="preserve">Lumina Homeware Pte Ltd</t>
  </si>
  <si>
    <t xml:space="preserve">Level / duration</t>
  </si>
  <si>
    <t xml:space="preserve">Foundation · 25 min</t>
  </si>
  <si>
    <t xml:space="preserve">Alignment</t>
  </si>
  <si>
    <t xml:space="preserve">A1 · K1</t>
  </si>
  <si>
    <t xml:space="preserve">Objective</t>
  </si>
  <si>
    <t xml:space="preserve">Create a controlled Xero organisation profile for Lumina Homeware Pte Ltd.</t>
  </si>
  <si>
    <t xml:space="preserve">Expected output</t>
  </si>
  <si>
    <t xml:space="preserve">Organisation profile evidence, GST and financial-year settings, user-access matrix and setup sign-off.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</si>
  <si>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</si>
  <si>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</si>
  <si>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</si>
  <si>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</si>
  <si>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</si>
  <si>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</si>
  <si>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</si>
  <si>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</si>
  <si>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CFG-001</t>
  </si>
  <si>
    <t xml:space="preserve">2026-07-01</t>
  </si>
  <si>
    <t xml:space="preserve">Company legal profile</t>
  </si>
  <si>
    <t xml:space="preserve">CFG-002</t>
  </si>
  <si>
    <t xml:space="preserve">Finance Team</t>
  </si>
  <si>
    <t xml:space="preserve">Financial year and access control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</si>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</sst>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5</v>
      </c>
      <c r="D2" s="3" t="s">
        <v>24</v>
      </c>
      <c r="E2" s="4" t="n">
        <v>0</v>
      </c>
      <c r="F2" s="5" t="n">
        <v>0.09</v>
      </c>
      <c r="G2" s="6" t="n">
        <f aca="false">ROUND(E2*F2,2)</f>
        <v>0</v>
      </c>
      <c r="H2" s="6" t="n">
        <f aca="false">E2+G2</f>
        <v>0</v>
      </c>
    </row>
    <row r="3" customFormat="false" ht="15" hidden="false" customHeight="false" outlineLevel="0" collapsed="false">
      <c r="A3" s="3" t="s">
        <v>25</v>
      </c>
      <c r="B3" s="3" t="s">
        <v>23</v>
      </c>
      <c r="C3" s="3" t="s">
        <v>26</v>
      </c>
      <c r="D3" s="3" t="s">
        <v>27</v>
      </c>
      <c r="E3" s="4" t="n">
        <v>0</v>
      </c>
      <c r="F3" s="5" t="n">
        <v>0.09</v>
      </c>
      <c r="G3" s="6" t="n">
        <f aca="false">ROUND(E3*F3,2)</f>
        <v>0</v>
      </c>
      <c r="H3" s="6" t="n">
        <f aca="false">E3+G3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</row>
    <row r="2" customFormat="false" ht="15" hidden="false" customHeight="false" outlineLevel="0" collapsed="false">
      <c r="A2" s="7" t="s">
        <v>32</v>
      </c>
      <c r="B2" s="2" t="n">
        <f aca="false">COUNTA('Source Data'!A2:A100)</f>
        <v>2</v>
      </c>
      <c r="C2" s="2" t="s">
        <v>33</v>
      </c>
      <c r="D2" s="2"/>
    </row>
    <row r="3" customFormat="false" ht="15" hidden="false" customHeight="false" outlineLevel="0" collapsed="false">
      <c r="A3" s="2" t="s">
        <v>34</v>
      </c>
      <c r="B3" s="2" t="n">
        <f aca="false">SUM('Source Data'!E2:E100)</f>
        <v>0</v>
      </c>
      <c r="C3" s="2" t="s">
        <v>33</v>
      </c>
      <c r="D3" s="2"/>
    </row>
    <row r="4" customFormat="false" ht="15" hidden="false" customHeight="false" outlineLevel="0" collapsed="false">
      <c r="A4" s="2" t="s">
        <v>35</v>
      </c>
      <c r="B4" s="2" t="n">
        <f aca="false">SUM('Source Data'!G2:G100)</f>
        <v>0</v>
      </c>
      <c r="C4" s="2" t="s">
        <v>33</v>
      </c>
      <c r="D4" s="2"/>
    </row>
    <row r="5" customFormat="false" ht="15" hidden="false" customHeight="false" outlineLevel="0" collapsed="false">
      <c r="A5" s="2" t="s">
        <v>36</v>
      </c>
      <c r="B5" s="2" t="n">
        <f aca="false">SUM('Source Data'!H2:H100)</f>
        <v>0</v>
      </c>
      <c r="C5" s="2" t="s">
        <v>33</v>
      </c>
      <c r="D5" s="2"/>
    </row>
    <row r="6" customFormat="false" ht="15" hidden="false" customHeight="false" outlineLevel="0" collapsed="false">
      <c r="A6" s="2" t="s">
        <v>37</v>
      </c>
      <c r="B6" s="2" t="n">
        <f aca="false">COUNTIF(C2:C5,"Complete")</f>
        <v>0</v>
      </c>
      <c r="C6" s="2" t="s">
        <v>33</v>
      </c>
      <c r="D6" s="2" t="s">
        <v>38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customFormat="false" ht="15" hidden="false" customHeight="false" outlineLevel="0" collapsed="false">
      <c r="A2" s="3" t="s">
        <v>45</v>
      </c>
      <c r="B2" s="3" t="s">
        <v>46</v>
      </c>
      <c r="C2" s="3"/>
      <c r="D2" s="3" t="s">
        <v>33</v>
      </c>
      <c r="E2" s="3"/>
      <c r="F2" s="3"/>
    </row>
    <row r="3" customFormat="false" ht="15" hidden="false" customHeight="false" outlineLevel="0" collapsed="false">
      <c r="A3" s="3" t="s">
        <v>47</v>
      </c>
      <c r="B3" s="3" t="s">
        <v>48</v>
      </c>
      <c r="C3" s="3"/>
      <c r="D3" s="3" t="s">
        <v>33</v>
      </c>
      <c r="E3" s="3"/>
      <c r="F3" s="3"/>
    </row>
    <row r="4" customFormat="false" ht="15" hidden="false" customHeight="false" outlineLevel="0" collapsed="false">
      <c r="A4" s="3" t="s">
        <v>49</v>
      </c>
      <c r="B4" s="3" t="s">
        <v>50</v>
      </c>
      <c r="C4" s="3"/>
      <c r="D4" s="3" t="s">
        <v>33</v>
      </c>
      <c r="E4" s="3"/>
      <c r="F4" s="3"/>
    </row>
    <row r="5" customFormat="false" ht="15" hidden="false" customHeight="false" outlineLevel="0" collapsed="false">
      <c r="A5" s="3" t="s">
        <v>51</v>
      </c>
      <c r="B5" s="3" t="s">
        <v>52</v>
      </c>
      <c r="C5" s="3"/>
      <c r="D5" s="3" t="s">
        <v>33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42</v>
      </c>
    </row>
    <row r="2" customFormat="false" ht="15" hidden="false" customHeight="false" outlineLevel="0" collapsed="false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/>
      <c r="G2" s="3" t="s">
        <v>64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